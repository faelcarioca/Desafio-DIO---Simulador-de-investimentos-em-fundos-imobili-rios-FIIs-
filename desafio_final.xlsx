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TIVO" sheetId="1" r:id="rId4"/>
    <sheet state="visible" name="SUPORTE" sheetId="2" r:id="rId5"/>
  </sheets>
  <definedNames>
    <definedName name="RENDIM">APLICATIVO!$L$6</definedName>
    <definedName name="PATRIMN">APLICATIVO!$L$13</definedName>
    <definedName name="APORTE">APLICATIVO!$L$10</definedName>
    <definedName name="SALARIO">APLICATIVO!$L$5</definedName>
    <definedName name="TAX_MES">APLICATIVO!$L$12</definedName>
    <definedName name="INVEST">APLICATIVO!$L$7</definedName>
    <definedName name="PERI_ANO">APLICATIVO!$L$11</definedName>
  </definedNames>
  <calcPr/>
  <extLst>
    <ext uri="GoogleSheetsCustomDataVersion2">
      <go:sheetsCustomData xmlns:go="http://customooxmlschemas.google.com/" r:id="rId6" roundtripDataChecksum="k+FXCmBxXNsioOV3FxcbwuvT/bO1lg/w2BqIOtkLLmM="/>
    </ext>
  </extLst>
</workbook>
</file>

<file path=xl/sharedStrings.xml><?xml version="1.0" encoding="utf-8"?>
<sst xmlns="http://schemas.openxmlformats.org/spreadsheetml/2006/main" count="76" uniqueCount="34">
  <si>
    <t>CHAVE</t>
  </si>
  <si>
    <t>PERFIL</t>
  </si>
  <si>
    <t>TIPO DE FII</t>
  </si>
  <si>
    <t>%</t>
  </si>
  <si>
    <t>CONSERVADOR</t>
  </si>
  <si>
    <t>PAPEL</t>
  </si>
  <si>
    <t>TIJOLO</t>
  </si>
  <si>
    <t>HÍBRIDO</t>
  </si>
  <si>
    <t>FOFs</t>
  </si>
  <si>
    <t>DESENVOLVIMENTO</t>
  </si>
  <si>
    <t>HOTELARIA</t>
  </si>
  <si>
    <t>MODERADO</t>
  </si>
  <si>
    <t>AGRESSIVO</t>
  </si>
  <si>
    <t>CONFIGURAÇÕES</t>
  </si>
  <si>
    <t>Salário</t>
  </si>
  <si>
    <t>Rendimento da Carteira</t>
  </si>
  <si>
    <t>Sugestão de Investimento (20%)</t>
  </si>
  <si>
    <t>INVESTIMENTO MENSAL</t>
  </si>
  <si>
    <t>Quanto investir mensalmente</t>
  </si>
  <si>
    <t>Período em anos</t>
  </si>
  <si>
    <t>Taxa de rendimento mensal</t>
  </si>
  <si>
    <t>PATRIMÔMIO ACUMULADO:</t>
  </si>
  <si>
    <t>DIVIDENDOS MENSAIS:</t>
  </si>
  <si>
    <t>CENÁRIOS</t>
  </si>
  <si>
    <t>DIVIDENDO</t>
  </si>
  <si>
    <t>QUANTIA EM 2 ANOS:</t>
  </si>
  <si>
    <t>QUANTIA  EM 5 ANOS:</t>
  </si>
  <si>
    <t>QUANTIA EM 10 ANOS:</t>
  </si>
  <si>
    <t>QUANTIA EM 20 ANOS:</t>
  </si>
  <si>
    <t>QUANTIA EM 30 ANOS:</t>
  </si>
  <si>
    <t>PERFIL:</t>
  </si>
  <si>
    <t>VALOR A SER INVESTIDO POR MÊS</t>
  </si>
  <si>
    <t>%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</si>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</sst>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-416]\ #,##0.00"/>
    <numFmt numFmtId="165" formatCode="[$R$ -416]#,##0.00"/>
  </numFmts>
  <fonts count="14">
    <font>
      <sz val="11.0"/>
      <color theme="1"/>
      <name val="Calibri"/>
      <scheme val="minor"/>
    </font>
    <font>
      <sz val="11.0"/>
      <color theme="0"/>
      <name val="Arial"/>
    </font>
    <font>
      <sz val="11.0"/>
      <color theme="1"/>
      <name val="Arial"/>
    </font>
    <font>
      <sz val="6.0"/>
      <color theme="1"/>
      <name val="Arial"/>
    </font>
    <font>
      <b/>
      <sz val="16.0"/>
      <color theme="0"/>
      <name val="Arial"/>
    </font>
    <font/>
    <font>
      <sz val="11.0"/>
      <color theme="1"/>
      <name val="Calibri"/>
    </font>
    <font>
      <b/>
      <sz val="11.0"/>
      <color rgb="FF434343"/>
      <name val="Arial"/>
    </font>
    <font>
      <b/>
      <sz val="14.0"/>
      <color theme="0"/>
      <name val="Arial"/>
    </font>
    <font>
      <b/>
      <sz val="11.0"/>
      <color theme="0"/>
      <name val="Arial"/>
    </font>
    <font>
      <sz val="6.0"/>
      <color theme="0"/>
      <name val="Arial"/>
    </font>
    <font>
      <sz val="11.0"/>
      <color rgb="FF434343"/>
      <name val="Arial"/>
    </font>
    <font>
      <b/>
      <sz val="11.0"/>
      <color rgb="FFFFFFFF"/>
      <name val="Arial"/>
    </font>
    <font>
      <sz val="6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47D45A"/>
        <bgColor rgb="FF47D45A"/>
      </patternFill>
    </fill>
    <fill>
      <patternFill patternType="solid">
        <fgColor rgb="FFF3F3F3"/>
        <bgColor rgb="FFF3F3F3"/>
      </patternFill>
    </fill>
    <fill>
      <patternFill patternType="solid">
        <fgColor rgb="FF45B0E1"/>
        <bgColor rgb="FF45B0E1"/>
      </patternFill>
    </fill>
    <fill>
      <patternFill patternType="solid">
        <fgColor rgb="FFEFEFEF"/>
        <bgColor rgb="FFEFEFEF"/>
      </patternFill>
    </fill>
    <fill>
      <patternFill patternType="solid">
        <fgColor rgb="FF4D94D8"/>
        <bgColor rgb="FF4D94D8"/>
      </patternFill>
    </fill>
    <fill>
      <patternFill patternType="solid">
        <fgColor rgb="FF215E99"/>
        <bgColor rgb="FF215E99"/>
      </patternFill>
    </fill>
    <fill>
      <patternFill patternType="solid">
        <fgColor rgb="FF434343"/>
        <bgColor rgb="FF434343"/>
      </patternFill>
    </fill>
    <fill>
      <patternFill patternType="solid">
        <fgColor rgb="FF7F7F7F"/>
        <bgColor rgb="FF7F7F7F"/>
      </patternFill>
    </fill>
  </fills>
  <borders count="75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49D35A"/>
      </bottom>
    </border>
    <border>
      <top style="medium">
        <color rgb="FF000000"/>
      </top>
      <bottom style="medium">
        <color rgb="FF49D35A"/>
      </bottom>
    </border>
    <border>
      <right style="medium">
        <color rgb="FF000000"/>
      </right>
      <top style="medium">
        <color rgb="FF000000"/>
      </top>
      <bottom style="medium">
        <color rgb="FF49D35A"/>
      </bottom>
    </border>
    <border>
      <left style="medium">
        <color rgb="FF000000"/>
      </left>
      <top/>
      <bottom style="thin">
        <color rgb="FF47D45A"/>
      </bottom>
    </border>
    <border>
      <top/>
      <bottom style="thin">
        <color rgb="FF47D45A"/>
      </bottom>
    </border>
    <border>
      <right/>
      <top/>
      <bottom style="thin">
        <color rgb="FF47D45A"/>
      </bottom>
    </border>
    <border>
      <right style="medium">
        <color rgb="FF000000"/>
      </right>
      <bottom style="thin">
        <color rgb="FF47D45A"/>
      </bottom>
    </border>
    <border>
      <left style="medium">
        <color rgb="FF000000"/>
      </left>
      <top style="thin">
        <color rgb="FF47D45A"/>
      </top>
      <bottom style="thin">
        <color rgb="FF47D45A"/>
      </bottom>
    </border>
    <border>
      <top style="thin">
        <color rgb="FF47D45A"/>
      </top>
      <bottom style="thin">
        <color rgb="FF47D45A"/>
      </bottom>
    </border>
    <border>
      <right/>
      <top style="thin">
        <color rgb="FF47D45A"/>
      </top>
      <bottom style="thin">
        <color rgb="FF47D45A"/>
      </bottom>
    </border>
    <border>
      <right style="medium">
        <color rgb="FF000000"/>
      </right>
      <top style="thin">
        <color rgb="FF47D45A"/>
      </top>
      <bottom style="thin">
        <color rgb="FF47D45A"/>
      </bottom>
    </border>
    <border>
      <left style="medium">
        <color rgb="FF000000"/>
      </left>
      <top style="thin">
        <color rgb="FF47D45A"/>
      </top>
      <bottom style="medium">
        <color rgb="FF000000"/>
      </bottom>
    </border>
    <border>
      <top style="thin">
        <color rgb="FF47D45A"/>
      </top>
      <bottom style="medium">
        <color rgb="FF000000"/>
      </bottom>
    </border>
    <border>
      <right/>
      <top style="thin">
        <color rgb="FF47D45A"/>
      </top>
      <bottom style="medium">
        <color rgb="FF000000"/>
      </bottom>
    </border>
    <border>
      <left/>
      <right style="medium">
        <color rgb="FF000000"/>
      </right>
      <top style="thin">
        <color rgb="FF47D45A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47AFE0"/>
      </bottom>
    </border>
    <border>
      <top style="medium">
        <color rgb="FF000000"/>
      </top>
      <bottom style="medium">
        <color rgb="FF47AFE0"/>
      </bottom>
    </border>
    <border>
      <right style="medium">
        <color rgb="FF000000"/>
      </right>
      <top style="medium">
        <color rgb="FF000000"/>
      </top>
      <bottom style="medium">
        <color rgb="FF47AFE0"/>
      </bottom>
    </border>
    <border>
      <left style="medium">
        <color rgb="FF000000"/>
      </left>
      <top/>
      <bottom style="thin">
        <color rgb="FF45B0E1"/>
      </bottom>
    </border>
    <border>
      <top/>
      <bottom style="thin">
        <color rgb="FF45B0E1"/>
      </bottom>
    </border>
    <border>
      <right/>
      <top/>
      <bottom style="thin">
        <color rgb="FF45B0E1"/>
      </bottom>
    </border>
    <border>
      <right style="medium">
        <color rgb="FF000000"/>
      </right>
      <bottom style="thin">
        <color rgb="FF45B0E1"/>
      </bottom>
    </border>
    <border>
      <left style="medium">
        <color rgb="FF000000"/>
      </left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right/>
      <top style="thin">
        <color rgb="FF45B0E1"/>
      </top>
      <bottom style="thin">
        <color rgb="FF45B0E1"/>
      </bottom>
    </border>
    <border>
      <right style="medium">
        <color rgb="FF000000"/>
      </right>
      <top style="thin">
        <color rgb="FF45B0E1"/>
      </top>
      <bottom style="thin">
        <color rgb="FF45B0E1"/>
      </bottom>
    </border>
    <border>
      <left style="medium">
        <color rgb="FF000000"/>
      </left>
      <top style="thin">
        <color rgb="FF45B0E1"/>
      </top>
      <bottom style="medium">
        <color rgb="FFF3F3F3"/>
      </bottom>
    </border>
    <border>
      <top style="thin">
        <color rgb="FF45B0E1"/>
      </top>
      <bottom style="medium">
        <color rgb="FFF3F3F3"/>
      </bottom>
    </border>
    <border>
      <right/>
      <top style="thin">
        <color rgb="FF45B0E1"/>
      </top>
      <bottom style="medium">
        <color rgb="FFF3F3F3"/>
      </bottom>
    </border>
    <border>
      <left/>
      <right style="medium">
        <color rgb="FF000000"/>
      </right>
      <top style="thin">
        <color rgb="FF45B0E1"/>
      </top>
      <bottom style="medium">
        <color rgb="FFF3F3F3"/>
      </bottom>
    </border>
    <border>
      <left style="medium">
        <color rgb="FF000000"/>
      </left>
      <top style="medium">
        <color rgb="FFF3F3F3"/>
      </top>
      <bottom style="medium">
        <color rgb="FF000000"/>
      </bottom>
    </border>
    <border>
      <top style="medium">
        <color rgb="FFF3F3F3"/>
      </top>
      <bottom style="medium">
        <color rgb="FF000000"/>
      </bottom>
    </border>
    <border>
      <right/>
      <top style="medium">
        <color rgb="FFF3F3F3"/>
      </top>
      <bottom style="medium">
        <color rgb="FF000000"/>
      </bottom>
    </border>
    <border>
      <left/>
      <right style="medium">
        <color rgb="FF000000"/>
      </right>
      <top style="medium">
        <color rgb="FFF3F3F3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45B0E1"/>
      </right>
      <top style="medium">
        <color rgb="FF000000"/>
      </top>
      <bottom/>
    </border>
    <border>
      <left style="thin">
        <color rgb="FF45B0E1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F3F3F3"/>
      </bottom>
    </border>
    <border>
      <top/>
      <bottom style="medium">
        <color rgb="FFF3F3F3"/>
      </bottom>
    </border>
    <border>
      <right/>
      <top/>
      <bottom style="medium">
        <color rgb="FFF3F3F3"/>
      </bottom>
    </border>
    <border>
      <left/>
      <top/>
      <bottom style="medium">
        <color rgb="FFF3F3F3"/>
      </bottom>
    </border>
    <border>
      <left/>
      <right style="medium">
        <color rgb="FF000000"/>
      </right>
      <top/>
      <bottom style="medium">
        <color rgb="FFF3F3F3"/>
      </bottom>
    </border>
    <border>
      <left style="medium">
        <color rgb="FF000000"/>
      </left>
      <top style="medium">
        <color rgb="FFF3F3F3"/>
      </top>
      <bottom style="medium">
        <color rgb="FFF3F3F3"/>
      </bottom>
    </border>
    <border>
      <top style="medium">
        <color rgb="FFF3F3F3"/>
      </top>
      <bottom style="medium">
        <color rgb="FFF3F3F3"/>
      </bottom>
    </border>
    <border>
      <right/>
      <top style="medium">
        <color rgb="FFF3F3F3"/>
      </top>
      <bottom style="medium">
        <color rgb="FFF3F3F3"/>
      </bottom>
    </border>
    <border>
      <left/>
      <top style="medium">
        <color rgb="FFF3F3F3"/>
      </top>
      <bottom style="medium">
        <color rgb="FFF3F3F3"/>
      </bottom>
    </border>
    <border>
      <left/>
      <top style="medium">
        <color rgb="FFF3F3F3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4D94D8"/>
      </bottom>
    </border>
    <border>
      <top style="medium">
        <color rgb="FF000000"/>
      </top>
      <bottom style="thin">
        <color rgb="FF4D94D8"/>
      </bottom>
    </border>
    <border>
      <right style="thin">
        <color rgb="FF4D94D8"/>
      </right>
      <top style="medium">
        <color rgb="FF000000"/>
      </top>
      <bottom style="thin">
        <color rgb="FF4D94D8"/>
      </bottom>
    </border>
    <border>
      <left style="thin">
        <color rgb="FF4D94D8"/>
      </left>
      <right style="medium">
        <color rgb="FF000000"/>
      </right>
      <top style="medium">
        <color rgb="FF000000"/>
      </top>
      <bottom style="thin">
        <color rgb="FF4D94D8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right/>
      <top style="medium">
        <color rgb="FF000000"/>
      </top>
      <bottom/>
    </border>
    <border>
      <left/>
      <right/>
      <top/>
      <bottom style="medium">
        <color rgb="FFF3F3F3"/>
      </bottom>
    </border>
    <border>
      <left/>
      <right/>
      <top style="medium">
        <color rgb="FFF3F3F3"/>
      </top>
      <bottom style="medium">
        <color rgb="FFF3F3F3"/>
      </bottom>
    </border>
    <border>
      <left/>
      <right style="medium">
        <color rgb="FF000000"/>
      </right>
      <top style="medium">
        <color rgb="FFF3F3F3"/>
      </top>
      <bottom style="medium">
        <color rgb="FFF3F3F3"/>
      </bottom>
    </border>
    <border>
      <left style="medium">
        <color rgb="FF000000"/>
      </left>
      <top style="medium">
        <color rgb="FFF3F3F3"/>
      </top>
      <bottom/>
    </border>
    <border>
      <top style="medium">
        <color rgb="FFF3F3F3"/>
      </top>
      <bottom/>
    </border>
    <border>
      <right/>
      <top style="medium">
        <color rgb="FFF3F3F3"/>
      </top>
      <bottom/>
    </border>
    <border>
      <left/>
      <right/>
      <top style="medium">
        <color rgb="FFF3F3F3"/>
      </top>
      <bottom/>
    </border>
    <border>
      <left/>
      <right style="medium">
        <color rgb="FF000000"/>
      </right>
      <top style="medium">
        <color rgb="FFF3F3F3"/>
      </top>
      <bottom/>
    </border>
    <border>
      <left/>
      <top/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5" fillId="0" fontId="2" numFmtId="9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center" shrinkToFit="0" vertical="bottom" wrapText="0"/>
    </xf>
    <xf borderId="8" fillId="0" fontId="2" numFmtId="9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9" fillId="3" fontId="4" numFmtId="0" xfId="0" applyAlignment="1" applyBorder="1" applyFill="1" applyFont="1">
      <alignment horizontal="center" shrinkToFit="0" vertical="center" wrapText="0"/>
    </xf>
    <xf borderId="10" fillId="0" fontId="5" numFmtId="0" xfId="0" applyBorder="1" applyFont="1"/>
    <xf borderId="11" fillId="0" fontId="5" numFmtId="0" xfId="0" applyBorder="1" applyFont="1"/>
    <xf borderId="0" fillId="0" fontId="6" numFmtId="0" xfId="0" applyAlignment="1" applyFont="1">
      <alignment shrinkToFit="0" vertical="bottom" wrapText="0"/>
    </xf>
    <xf borderId="12" fillId="4" fontId="2" numFmtId="0" xfId="0" applyAlignment="1" applyBorder="1" applyFill="1" applyFont="1">
      <alignment horizontal="left" shrinkToFit="0" vertical="bottom" wrapText="0"/>
    </xf>
    <xf borderId="13" fillId="0" fontId="5" numFmtId="0" xfId="0" applyBorder="1" applyFont="1"/>
    <xf borderId="14" fillId="0" fontId="5" numFmtId="0" xfId="0" applyBorder="1" applyFont="1"/>
    <xf borderId="15" fillId="0" fontId="2" numFmtId="164" xfId="0" applyAlignment="1" applyBorder="1" applyFont="1" applyNumberFormat="1">
      <alignment horizontal="center" shrinkToFit="0" vertical="bottom" wrapText="0"/>
    </xf>
    <xf borderId="0" fillId="0" fontId="6" numFmtId="164" xfId="0" applyAlignment="1" applyFont="1" applyNumberFormat="1">
      <alignment shrinkToFit="0" vertical="bottom" wrapText="0"/>
    </xf>
    <xf borderId="16" fillId="4" fontId="2" numFmtId="0" xfId="0" applyAlignment="1" applyBorder="1" applyFill="1" applyFont="1">
      <alignment horizontal="left" shrinkToFit="0" vertical="bottom" wrapText="0"/>
    </xf>
    <xf borderId="17" fillId="0" fontId="5" numFmtId="0" xfId="0" applyBorder="1" applyFont="1"/>
    <xf borderId="18" fillId="0" fontId="5" numFmtId="0" xfId="0" applyBorder="1" applyFont="1"/>
    <xf borderId="19" fillId="0" fontId="2" numFmtId="10" xfId="0" applyAlignment="1" applyBorder="1" applyFont="1" applyNumberFormat="1">
      <alignment horizontal="center" readingOrder="0" shrinkToFit="0" vertical="bottom" wrapText="0"/>
    </xf>
    <xf borderId="0" fillId="0" fontId="6" numFmtId="10" xfId="0" applyAlignment="1" applyFont="1" applyNumberFormat="1">
      <alignment shrinkToFit="0" vertical="bottom" wrapText="0"/>
    </xf>
    <xf borderId="20" fillId="4" fontId="7" numFmtId="0" xfId="0" applyAlignment="1" applyBorder="1" applyFill="1" applyFont="1">
      <alignment horizontal="left" shrinkToFit="0" vertical="bottom" wrapText="0"/>
    </xf>
    <xf borderId="21" fillId="0" fontId="5" numFmtId="0" xfId="0" applyBorder="1" applyFont="1"/>
    <xf borderId="22" fillId="0" fontId="5" numFmtId="0" xfId="0" applyBorder="1" applyFont="1"/>
    <xf borderId="23" fillId="4" fontId="7" numFmtId="164" xfId="0" applyAlignment="1" applyBorder="1" applyFill="1" applyFont="1" applyNumberFormat="1">
      <alignment horizontal="center" shrinkToFit="0" vertical="bottom" wrapText="0"/>
    </xf>
    <xf borderId="24" fillId="5" fontId="4" numFmtId="0" xfId="0" applyAlignment="1" applyBorder="1" applyFill="1" applyFont="1">
      <alignment horizontal="center" shrinkToFit="0" vertical="center" wrapText="0"/>
    </xf>
    <xf borderId="25" fillId="0" fontId="5" numFmtId="0" xfId="0" applyBorder="1" applyFont="1"/>
    <xf borderId="26" fillId="0" fontId="5" numFmtId="0" xfId="0" applyBorder="1" applyFont="1"/>
    <xf borderId="27" fillId="4" fontId="2" numFmtId="0" xfId="0" applyAlignment="1" applyBorder="1" applyFill="1" applyFont="1">
      <alignment horizontal="left" shrinkToFit="0" vertical="bottom" wrapText="0"/>
    </xf>
    <xf borderId="28" fillId="0" fontId="5" numFmtId="0" xfId="0" applyBorder="1" applyFont="1"/>
    <xf borderId="29" fillId="0" fontId="5" numFmtId="0" xfId="0" applyBorder="1" applyFont="1"/>
    <xf borderId="30" fillId="0" fontId="2" numFmtId="164" xfId="0" applyAlignment="1" applyBorder="1" applyFont="1" applyNumberFormat="1">
      <alignment horizontal="center" shrinkToFit="0" vertical="bottom" wrapText="0"/>
    </xf>
    <xf borderId="31" fillId="4" fontId="2" numFmtId="0" xfId="0" applyAlignment="1" applyBorder="1" applyFill="1" applyFont="1">
      <alignment horizontal="left" shrinkToFit="0" vertical="bottom" wrapText="0"/>
    </xf>
    <xf borderId="32" fillId="0" fontId="5" numFmtId="0" xfId="0" applyBorder="1" applyFont="1"/>
    <xf borderId="33" fillId="0" fontId="5" numFmtId="0" xfId="0" applyBorder="1" applyFont="1"/>
    <xf borderId="34" fillId="0" fontId="2" numFmtId="0" xfId="0" applyAlignment="1" applyBorder="1" applyFont="1">
      <alignment horizontal="center" shrinkToFit="0" vertical="bottom" wrapText="0"/>
    </xf>
    <xf borderId="31" fillId="4" fontId="2" numFmtId="0" xfId="0" applyAlignment="1" applyBorder="1" applyFill="1" applyFont="1">
      <alignment shrinkToFit="0" vertical="bottom" wrapText="0"/>
    </xf>
    <xf borderId="34" fillId="0" fontId="2" numFmtId="10" xfId="0" applyAlignment="1" applyBorder="1" applyFont="1" applyNumberFormat="1">
      <alignment horizontal="center" shrinkToFit="0" vertical="bottom" wrapText="0"/>
    </xf>
    <xf borderId="35" fillId="6" fontId="7" numFmtId="0" xfId="0" applyAlignment="1" applyBorder="1" applyFill="1" applyFont="1">
      <alignment shrinkToFit="0" vertical="bottom" wrapText="0"/>
    </xf>
    <xf borderId="36" fillId="0" fontId="5" numFmtId="0" xfId="0" applyBorder="1" applyFont="1"/>
    <xf borderId="37" fillId="0" fontId="5" numFmtId="0" xfId="0" applyBorder="1" applyFont="1"/>
    <xf borderId="38" fillId="6" fontId="7" numFmtId="164" xfId="0" applyAlignment="1" applyBorder="1" applyFill="1" applyFont="1" applyNumberFormat="1">
      <alignment horizontal="right" shrinkToFit="0" vertical="bottom" wrapText="0"/>
    </xf>
    <xf borderId="39" fillId="6" fontId="7" numFmtId="0" xfId="0" applyAlignment="1" applyBorder="1" applyFill="1" applyFont="1">
      <alignment shrinkToFit="0" vertical="bottom" wrapText="0"/>
    </xf>
    <xf borderId="40" fillId="0" fontId="5" numFmtId="0" xfId="0" applyBorder="1" applyFont="1"/>
    <xf borderId="41" fillId="0" fontId="5" numFmtId="0" xfId="0" applyBorder="1" applyFont="1"/>
    <xf borderId="42" fillId="6" fontId="7" numFmtId="164" xfId="0" applyAlignment="1" applyBorder="1" applyFill="1" applyFont="1" applyNumberFormat="1">
      <alignment horizontal="right" shrinkToFit="0" vertical="bottom" wrapText="0"/>
    </xf>
    <xf borderId="43" fillId="7" fontId="8" numFmtId="0" xfId="0" applyAlignment="1" applyBorder="1" applyFill="1" applyFont="1">
      <alignment horizontal="center" shrinkToFit="0" vertical="center" wrapText="0"/>
    </xf>
    <xf borderId="44" fillId="0" fontId="5" numFmtId="0" xfId="0" applyBorder="1" applyFont="1"/>
    <xf borderId="45" fillId="0" fontId="5" numFmtId="0" xfId="0" applyBorder="1" applyFont="1"/>
    <xf borderId="46" fillId="7" fontId="9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7" fillId="6" fontId="7" numFmtId="0" xfId="0" applyAlignment="1" applyBorder="1" applyFill="1" applyFont="1">
      <alignment horizontal="left" shrinkToFit="0" vertical="bottom" wrapText="0"/>
    </xf>
    <xf borderId="48" fillId="0" fontId="5" numFmtId="0" xfId="0" applyBorder="1" applyFont="1"/>
    <xf borderId="49" fillId="0" fontId="5" numFmtId="0" xfId="0" applyBorder="1" applyFont="1"/>
    <xf borderId="50" fillId="6" fontId="11" numFmtId="0" xfId="0" applyAlignment="1" applyBorder="1" applyFill="1" applyFont="1">
      <alignment horizontal="center" shrinkToFit="0" vertical="bottom" wrapText="0"/>
    </xf>
    <xf borderId="51" fillId="6" fontId="7" numFmtId="164" xfId="0" applyAlignment="1" applyBorder="1" applyFill="1" applyFont="1" applyNumberFormat="1">
      <alignment horizontal="right" shrinkToFit="0" vertical="bottom" wrapText="0"/>
    </xf>
    <xf borderId="52" fillId="6" fontId="7" numFmtId="0" xfId="0" applyAlignment="1" applyBorder="1" applyFill="1" applyFont="1">
      <alignment horizontal="left" shrinkToFit="0" vertical="bottom" wrapText="0"/>
    </xf>
    <xf borderId="53" fillId="0" fontId="5" numFmtId="0" xfId="0" applyBorder="1" applyFont="1"/>
    <xf borderId="54" fillId="0" fontId="5" numFmtId="0" xfId="0" applyBorder="1" applyFont="1"/>
    <xf borderId="55" fillId="6" fontId="11" numFmtId="0" xfId="0" applyAlignment="1" applyBorder="1" applyFill="1" applyFont="1">
      <alignment horizontal="center" shrinkToFit="0" vertical="bottom" wrapText="0"/>
    </xf>
    <xf borderId="39" fillId="6" fontId="7" numFmtId="0" xfId="0" applyAlignment="1" applyBorder="1" applyFill="1" applyFont="1">
      <alignment horizontal="left" shrinkToFit="0" vertical="bottom" wrapText="0"/>
    </xf>
    <xf borderId="56" fillId="6" fontId="11" numFmtId="0" xfId="0" applyAlignment="1" applyBorder="1" applyFill="1" applyFont="1">
      <alignment horizontal="center" shrinkToFit="0" vertical="bottom" wrapText="0"/>
    </xf>
    <xf borderId="57" fillId="6" fontId="7" numFmtId="164" xfId="0" applyAlignment="1" applyBorder="1" applyFill="1" applyFont="1" applyNumberFormat="1">
      <alignment horizontal="right" shrinkToFit="0" vertical="bottom" wrapText="0"/>
    </xf>
    <xf borderId="58" fillId="8" fontId="9" numFmtId="0" xfId="0" applyAlignment="1" applyBorder="1" applyFill="1" applyFont="1">
      <alignment horizontal="left" shrinkToFit="0" vertical="center" wrapText="0"/>
    </xf>
    <xf borderId="59" fillId="0" fontId="5" numFmtId="0" xfId="0" applyBorder="1" applyFont="1"/>
    <xf borderId="60" fillId="0" fontId="5" numFmtId="0" xfId="0" applyBorder="1" applyFont="1"/>
    <xf borderId="61" fillId="8" fontId="1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62" fillId="6" fontId="7" numFmtId="0" xfId="0" applyAlignment="1" applyBorder="1" applyFill="1" applyFont="1">
      <alignment shrinkToFit="0" vertical="bottom" wrapText="0"/>
    </xf>
    <xf borderId="63" fillId="0" fontId="5" numFmtId="0" xfId="0" applyBorder="1" applyFont="1"/>
    <xf borderId="64" fillId="0" fontId="5" numFmtId="0" xfId="0" applyBorder="1" applyFont="1"/>
    <xf borderId="0" fillId="0" fontId="13" numFmtId="0" xfId="0" applyAlignment="1" applyFont="1">
      <alignment shrinkToFit="0" vertical="bottom" wrapText="0"/>
    </xf>
    <xf borderId="43" fillId="9" fontId="9" numFmtId="0" xfId="0" applyAlignment="1" applyBorder="1" applyFill="1" applyFont="1">
      <alignment horizontal="center" shrinkToFit="0" vertical="center" wrapText="0"/>
    </xf>
    <xf borderId="65" fillId="0" fontId="5" numFmtId="0" xfId="0" applyBorder="1" applyFont="1"/>
    <xf borderId="2" fillId="9" fontId="9" numFmtId="0" xfId="0" applyAlignment="1" applyBorder="1" applyFill="1" applyFont="1">
      <alignment horizontal="center" shrinkToFit="0" vertical="bottom" wrapText="0"/>
    </xf>
    <xf borderId="2" fillId="9" fontId="12" numFmtId="0" xfId="0" applyAlignment="1" applyBorder="1" applyFill="1" applyFont="1">
      <alignment horizontal="center" shrinkToFit="0" vertical="center" wrapText="0"/>
    </xf>
    <xf borderId="3" fillId="9" fontId="9" numFmtId="0" xfId="0" applyAlignment="1" applyBorder="1" applyFill="1" applyFont="1">
      <alignment horizontal="center" shrinkToFit="0" vertical="center" wrapText="0"/>
    </xf>
    <xf borderId="47" fillId="6" fontId="7" numFmtId="0" xfId="0" applyAlignment="1" applyBorder="1" applyFill="1" applyFont="1">
      <alignment horizontal="center" shrinkToFit="0" vertical="bottom" wrapText="0"/>
    </xf>
    <xf borderId="66" fillId="6" fontId="11" numFmtId="0" xfId="0" applyAlignment="1" applyBorder="1" applyFill="1" applyFont="1">
      <alignment horizontal="center" shrinkToFit="0" vertical="bottom" wrapText="0"/>
    </xf>
    <xf borderId="66" fillId="6" fontId="7" numFmtId="9" xfId="0" applyAlignment="1" applyBorder="1" applyFill="1" applyFont="1" applyNumberFormat="1">
      <alignment horizontal="center" shrinkToFit="0" vertical="bottom" wrapText="0"/>
    </xf>
    <xf borderId="66" fillId="6" fontId="7" numFmtId="0" xfId="0" applyAlignment="1" applyBorder="1" applyFill="1" applyFont="1">
      <alignment horizontal="center" shrinkToFit="0" vertical="bottom" wrapText="0"/>
    </xf>
    <xf borderId="51" fillId="6" fontId="7" numFmtId="165" xfId="0" applyAlignment="1" applyBorder="1" applyFill="1" applyFont="1" applyNumberFormat="1">
      <alignment shrinkToFit="0" vertical="bottom" wrapText="0"/>
    </xf>
    <xf borderId="52" fillId="6" fontId="7" numFmtId="0" xfId="0" applyAlignment="1" applyBorder="1" applyFill="1" applyFont="1">
      <alignment horizontal="center" shrinkToFit="0" vertical="bottom" wrapText="0"/>
    </xf>
    <xf borderId="67" fillId="6" fontId="11" numFmtId="0" xfId="0" applyAlignment="1" applyBorder="1" applyFill="1" applyFont="1">
      <alignment horizontal="center" shrinkToFit="0" vertical="bottom" wrapText="0"/>
    </xf>
    <xf borderId="67" fillId="6" fontId="7" numFmtId="9" xfId="0" applyAlignment="1" applyBorder="1" applyFill="1" applyFont="1" applyNumberFormat="1">
      <alignment horizontal="center" shrinkToFit="0" vertical="bottom" wrapText="0"/>
    </xf>
    <xf borderId="67" fillId="6" fontId="7" numFmtId="0" xfId="0" applyAlignment="1" applyBorder="1" applyFill="1" applyFont="1">
      <alignment horizontal="center" shrinkToFit="0" vertical="bottom" wrapText="0"/>
    </xf>
    <xf borderId="68" fillId="6" fontId="7" numFmtId="165" xfId="0" applyAlignment="1" applyBorder="1" applyFill="1" applyFont="1" applyNumberFormat="1">
      <alignment shrinkToFit="0" vertical="bottom" wrapText="0"/>
    </xf>
    <xf borderId="69" fillId="6" fontId="7" numFmtId="0" xfId="0" applyAlignment="1" applyBorder="1" applyFill="1" applyFont="1">
      <alignment horizontal="center" shrinkToFit="0" vertical="bottom" wrapText="0"/>
    </xf>
    <xf borderId="70" fillId="0" fontId="5" numFmtId="0" xfId="0" applyBorder="1" applyFont="1"/>
    <xf borderId="71" fillId="0" fontId="5" numFmtId="0" xfId="0" applyBorder="1" applyFont="1"/>
    <xf borderId="72" fillId="6" fontId="11" numFmtId="0" xfId="0" applyAlignment="1" applyBorder="1" applyFill="1" applyFont="1">
      <alignment horizontal="center" shrinkToFit="0" vertical="bottom" wrapText="0"/>
    </xf>
    <xf borderId="72" fillId="6" fontId="7" numFmtId="9" xfId="0" applyAlignment="1" applyBorder="1" applyFill="1" applyFont="1" applyNumberFormat="1">
      <alignment horizontal="center" shrinkToFit="0" vertical="bottom" wrapText="0"/>
    </xf>
    <xf borderId="72" fillId="6" fontId="7" numFmtId="0" xfId="0" applyAlignment="1" applyBorder="1" applyFill="1" applyFont="1">
      <alignment horizontal="center" shrinkToFit="0" vertical="bottom" wrapText="0"/>
    </xf>
    <xf borderId="73" fillId="6" fontId="7" numFmtId="165" xfId="0" applyAlignment="1" applyBorder="1" applyFill="1" applyFont="1" applyNumberFormat="1">
      <alignment shrinkToFit="0" vertical="bottom" wrapText="0"/>
    </xf>
    <xf borderId="62" fillId="10" fontId="2" numFmtId="0" xfId="0" applyAlignment="1" applyBorder="1" applyFill="1" applyFont="1">
      <alignment shrinkToFit="0" vertical="bottom" wrapText="0"/>
    </xf>
    <xf borderId="74" fillId="10" fontId="2" numFmtId="0" xfId="0" applyAlignment="1" applyBorder="1" applyFill="1" applyFont="1">
      <alignment shrinkToFit="0" vertical="bottom" wrapText="0"/>
    </xf>
    <xf borderId="57" fillId="10" fontId="12" numFmtId="165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APLICATIVO!$J$26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APLICATIVO!$A$27:$A$32</c:f>
            </c:strRef>
          </c:cat>
          <c:val>
            <c:numRef>
              <c:f>APLICATIVO!$J$27:$J$32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2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552450</xdr:colOff>
      <xdr:row>33</xdr:row>
      <xdr:rowOff>161925</xdr:rowOff>
    </xdr:from>
    <xdr:ext cx="6991350" cy="3952875"/>
    <xdr:graphicFrame>
      <xdr:nvGraphicFramePr>
        <xdr:cNvPr id="185702964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6991350" cy="12001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8.71"/>
    <col customWidth="1" min="9" max="9" width="1.57"/>
    <col customWidth="1" min="11" max="11" width="1.57"/>
    <col customWidth="1" min="12" max="12" width="26.29"/>
    <col customWidth="1" min="13" max="26" width="8.71"/>
  </cols>
  <sheetData>
    <row r="1" ht="14.25" customHeight="1">
      <c r="A1" s="1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4.5" customHeight="1">
      <c r="A2" s="11"/>
      <c r="B2" s="6"/>
      <c r="M2" s="6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1"/>
      <c r="B4" s="12" t="s">
        <v>13</v>
      </c>
      <c r="C4" s="13"/>
      <c r="D4" s="13"/>
      <c r="E4" s="13"/>
      <c r="F4" s="13"/>
      <c r="G4" s="13"/>
      <c r="H4" s="13"/>
      <c r="I4" s="13"/>
      <c r="J4" s="13"/>
      <c r="K4" s="13"/>
      <c r="L4" s="14"/>
      <c r="M4" s="15"/>
      <c r="N4" s="1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1"/>
      <c r="B5" s="16" t="s">
        <v>14</v>
      </c>
      <c r="C5" s="17"/>
      <c r="D5" s="17"/>
      <c r="E5" s="17"/>
      <c r="F5" s="17"/>
      <c r="G5" s="17"/>
      <c r="H5" s="17"/>
      <c r="I5" s="17"/>
      <c r="J5" s="17"/>
      <c r="K5" s="18"/>
      <c r="L5" s="19">
        <v>5000.0</v>
      </c>
      <c r="M5" s="20"/>
      <c r="N5" s="2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1"/>
      <c r="B6" s="21" t="s">
        <v>15</v>
      </c>
      <c r="C6" s="22"/>
      <c r="D6" s="22"/>
      <c r="E6" s="22"/>
      <c r="F6" s="22"/>
      <c r="G6" s="22"/>
      <c r="H6" s="22"/>
      <c r="I6" s="22"/>
      <c r="J6" s="22"/>
      <c r="K6" s="23"/>
      <c r="L6" s="24">
        <v>0.0038</v>
      </c>
      <c r="M6" s="25"/>
      <c r="N6" s="2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1"/>
      <c r="B7" s="26" t="s">
        <v>16</v>
      </c>
      <c r="C7" s="27"/>
      <c r="D7" s="27"/>
      <c r="E7" s="27"/>
      <c r="F7" s="27"/>
      <c r="G7" s="27"/>
      <c r="H7" s="27"/>
      <c r="I7" s="27"/>
      <c r="J7" s="27"/>
      <c r="K7" s="28"/>
      <c r="L7" s="29">
        <f>SALARIO*20%</f>
        <v>1000</v>
      </c>
      <c r="M7" s="20"/>
      <c r="N7" s="20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1"/>
      <c r="B8" s="4"/>
      <c r="C8" s="4"/>
      <c r="D8" s="4"/>
      <c r="E8" s="4"/>
      <c r="F8" s="4"/>
      <c r="G8" s="4"/>
      <c r="H8" s="4"/>
      <c r="I8" s="4"/>
      <c r="J8" s="4"/>
      <c r="K8" s="4"/>
      <c r="L8" s="6"/>
      <c r="M8" s="15"/>
      <c r="N8" s="1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30" t="s">
        <v>17</v>
      </c>
      <c r="C9" s="31"/>
      <c r="D9" s="31"/>
      <c r="E9" s="31"/>
      <c r="F9" s="31"/>
      <c r="G9" s="31"/>
      <c r="H9" s="31"/>
      <c r="I9" s="31"/>
      <c r="J9" s="31"/>
      <c r="K9" s="31"/>
      <c r="L9" s="32"/>
      <c r="M9" s="15"/>
      <c r="N9" s="1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1"/>
      <c r="B10" s="33" t="s">
        <v>18</v>
      </c>
      <c r="C10" s="34"/>
      <c r="D10" s="34"/>
      <c r="E10" s="34"/>
      <c r="F10" s="34"/>
      <c r="G10" s="34"/>
      <c r="H10" s="34"/>
      <c r="I10" s="34"/>
      <c r="J10" s="34"/>
      <c r="K10" s="35"/>
      <c r="L10" s="36">
        <v>1000.0</v>
      </c>
      <c r="M10" s="20"/>
      <c r="N10" s="20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1"/>
      <c r="B11" s="37" t="s">
        <v>19</v>
      </c>
      <c r="C11" s="38"/>
      <c r="D11" s="38"/>
      <c r="E11" s="38"/>
      <c r="F11" s="38"/>
      <c r="G11" s="38"/>
      <c r="H11" s="38"/>
      <c r="I11" s="38"/>
      <c r="J11" s="38"/>
      <c r="K11" s="39"/>
      <c r="L11" s="40">
        <v>5.0</v>
      </c>
      <c r="M11" s="15"/>
      <c r="N11" s="1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1"/>
      <c r="B12" s="41" t="s">
        <v>20</v>
      </c>
      <c r="C12" s="38"/>
      <c r="D12" s="38"/>
      <c r="E12" s="38"/>
      <c r="F12" s="38"/>
      <c r="G12" s="38"/>
      <c r="H12" s="38"/>
      <c r="I12" s="38"/>
      <c r="J12" s="38"/>
      <c r="K12" s="39"/>
      <c r="L12" s="42">
        <v>0.0108</v>
      </c>
      <c r="M12" s="25"/>
      <c r="N12" s="2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1"/>
      <c r="B13" s="43" t="s">
        <v>21</v>
      </c>
      <c r="C13" s="44"/>
      <c r="D13" s="44"/>
      <c r="E13" s="44"/>
      <c r="F13" s="44"/>
      <c r="G13" s="44"/>
      <c r="H13" s="44"/>
      <c r="I13" s="44"/>
      <c r="J13" s="44"/>
      <c r="K13" s="45"/>
      <c r="L13" s="46">
        <f>FV(TAX_MES,12*PERI_ANO,-INVEST)</f>
        <v>83804.01936</v>
      </c>
      <c r="M13" s="20"/>
      <c r="N13" s="20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1"/>
      <c r="B14" s="47" t="s">
        <v>22</v>
      </c>
      <c r="C14" s="48"/>
      <c r="D14" s="48"/>
      <c r="E14" s="48"/>
      <c r="F14" s="48"/>
      <c r="G14" s="48"/>
      <c r="H14" s="48"/>
      <c r="I14" s="48"/>
      <c r="J14" s="48"/>
      <c r="K14" s="49"/>
      <c r="L14" s="50">
        <f>TAX_MES*PATRIMN</f>
        <v>905.0834091</v>
      </c>
      <c r="M14" s="20"/>
      <c r="N14" s="20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1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5"/>
      <c r="N15" s="1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51" t="s">
        <v>23</v>
      </c>
      <c r="C16" s="52"/>
      <c r="D16" s="52"/>
      <c r="E16" s="52"/>
      <c r="F16" s="52"/>
      <c r="G16" s="52"/>
      <c r="H16" s="52"/>
      <c r="I16" s="52"/>
      <c r="J16" s="52"/>
      <c r="K16" s="53"/>
      <c r="L16" s="54" t="s">
        <v>24</v>
      </c>
      <c r="M16" s="15"/>
      <c r="N16" s="1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5">
        <v>2.0</v>
      </c>
      <c r="B17" s="56" t="s">
        <v>25</v>
      </c>
      <c r="C17" s="57"/>
      <c r="D17" s="57"/>
      <c r="E17" s="57"/>
      <c r="F17" s="57"/>
      <c r="G17" s="57"/>
      <c r="H17" s="58"/>
      <c r="I17" s="59"/>
      <c r="J17" s="57"/>
      <c r="K17" s="58"/>
      <c r="L17" s="60">
        <f>FV(TAX_MES,12*A17,-INVEST)</f>
        <v>27230.86366</v>
      </c>
      <c r="M17" s="20"/>
      <c r="N17" s="20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5">
        <v>5.0</v>
      </c>
      <c r="B18" s="61" t="s">
        <v>26</v>
      </c>
      <c r="C18" s="62"/>
      <c r="D18" s="62"/>
      <c r="E18" s="62"/>
      <c r="F18" s="62"/>
      <c r="G18" s="62"/>
      <c r="H18" s="63"/>
      <c r="I18" s="64"/>
      <c r="J18" s="62"/>
      <c r="K18" s="63"/>
      <c r="L18" s="60">
        <f>FV(TAX_MES,12*A18,-INVEST)</f>
        <v>83804.01936</v>
      </c>
      <c r="M18" s="20"/>
      <c r="N18" s="20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5">
        <v>10.0</v>
      </c>
      <c r="B19" s="61" t="s">
        <v>27</v>
      </c>
      <c r="C19" s="62"/>
      <c r="D19" s="62"/>
      <c r="E19" s="62"/>
      <c r="F19" s="62"/>
      <c r="G19" s="62"/>
      <c r="H19" s="63"/>
      <c r="I19" s="64"/>
      <c r="J19" s="62"/>
      <c r="K19" s="63"/>
      <c r="L19" s="60">
        <f>FV(TAX_MES,12*A19,-INVEST)</f>
        <v>243457.6663</v>
      </c>
      <c r="M19" s="20"/>
      <c r="N19" s="20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5">
        <v>20.0</v>
      </c>
      <c r="B20" s="61" t="s">
        <v>28</v>
      </c>
      <c r="C20" s="62"/>
      <c r="D20" s="62"/>
      <c r="E20" s="62"/>
      <c r="F20" s="62"/>
      <c r="G20" s="62"/>
      <c r="H20" s="63"/>
      <c r="I20" s="64"/>
      <c r="J20" s="62"/>
      <c r="K20" s="63"/>
      <c r="L20" s="60">
        <f>FV(TAX_MES,12*A20,-INVEST)</f>
        <v>1127048.993</v>
      </c>
      <c r="M20" s="20"/>
      <c r="N20" s="20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5">
        <v>30.0</v>
      </c>
      <c r="B21" s="65" t="s">
        <v>29</v>
      </c>
      <c r="C21" s="48"/>
      <c r="D21" s="48"/>
      <c r="E21" s="48"/>
      <c r="F21" s="48"/>
      <c r="G21" s="48"/>
      <c r="H21" s="49"/>
      <c r="I21" s="66"/>
      <c r="J21" s="48"/>
      <c r="K21" s="49"/>
      <c r="L21" s="67">
        <f>FV(TAX_MES,12*A21,-INVEST)</f>
        <v>4333904.81</v>
      </c>
      <c r="M21" s="20"/>
      <c r="N21" s="20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5"/>
      <c r="N22" s="1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1"/>
      <c r="B23" s="68" t="s">
        <v>30</v>
      </c>
      <c r="C23" s="69"/>
      <c r="D23" s="69"/>
      <c r="E23" s="69"/>
      <c r="F23" s="69"/>
      <c r="G23" s="69"/>
      <c r="H23" s="69"/>
      <c r="I23" s="69"/>
      <c r="J23" s="69"/>
      <c r="K23" s="70"/>
      <c r="L23" s="71" t="s">
        <v>12</v>
      </c>
      <c r="M23" s="15"/>
      <c r="N23" s="15"/>
      <c r="O23" s="7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1"/>
      <c r="B24" s="73" t="s">
        <v>31</v>
      </c>
      <c r="C24" s="74"/>
      <c r="D24" s="74"/>
      <c r="E24" s="74"/>
      <c r="F24" s="74"/>
      <c r="G24" s="74"/>
      <c r="H24" s="74"/>
      <c r="I24" s="74"/>
      <c r="J24" s="74"/>
      <c r="K24" s="75"/>
      <c r="L24" s="67">
        <f>APORTE</f>
        <v>1000</v>
      </c>
      <c r="M24" s="20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15"/>
      <c r="N25" s="1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76" t="s">
        <v>2</v>
      </c>
      <c r="B26" s="77" t="s">
        <v>2</v>
      </c>
      <c r="C26" s="52"/>
      <c r="D26" s="52"/>
      <c r="E26" s="52"/>
      <c r="F26" s="52"/>
      <c r="G26" s="52"/>
      <c r="H26" s="78"/>
      <c r="I26" s="79"/>
      <c r="J26" s="80" t="s">
        <v>32</v>
      </c>
      <c r="K26" s="79"/>
      <c r="L26" s="81" t="s">
        <v>33</v>
      </c>
      <c r="M26" s="15"/>
      <c r="N26" s="1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76" t="s">
        <v>5</v>
      </c>
      <c r="B27" s="82" t="s">
        <v>5</v>
      </c>
      <c r="C27" s="57"/>
      <c r="D27" s="57"/>
      <c r="E27" s="57"/>
      <c r="F27" s="57"/>
      <c r="G27" s="57"/>
      <c r="H27" s="58"/>
      <c r="I27" s="83"/>
      <c r="J27" s="84">
        <f>VLOOKUP(L$23&amp;"-"&amp;A27,SUPORTE!A:D,4,FALSE())</f>
        <v>0.5</v>
      </c>
      <c r="K27" s="85"/>
      <c r="L27" s="86">
        <f t="shared" ref="L27:L32" si="1">J27*L$24</f>
        <v>500</v>
      </c>
      <c r="M27" s="15"/>
      <c r="N27" s="1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76" t="s">
        <v>6</v>
      </c>
      <c r="B28" s="87" t="s">
        <v>6</v>
      </c>
      <c r="C28" s="62"/>
      <c r="D28" s="62"/>
      <c r="E28" s="62"/>
      <c r="F28" s="62"/>
      <c r="G28" s="62"/>
      <c r="H28" s="63"/>
      <c r="I28" s="88"/>
      <c r="J28" s="89">
        <f>VLOOKUP(L$23&amp;"-"&amp;A28,SUPORTE!A:D,4,FALSE())</f>
        <v>0.1</v>
      </c>
      <c r="K28" s="90"/>
      <c r="L28" s="91">
        <f t="shared" si="1"/>
        <v>100</v>
      </c>
      <c r="M28" s="15"/>
      <c r="N28" s="1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76" t="s">
        <v>7</v>
      </c>
      <c r="B29" s="87" t="s">
        <v>7</v>
      </c>
      <c r="C29" s="62"/>
      <c r="D29" s="62"/>
      <c r="E29" s="62"/>
      <c r="F29" s="62"/>
      <c r="G29" s="62"/>
      <c r="H29" s="63"/>
      <c r="I29" s="88"/>
      <c r="J29" s="89">
        <f>VLOOKUP(L$23&amp;"-"&amp;A29,SUPORTE!A:D,4,FALSE())</f>
        <v>0.05</v>
      </c>
      <c r="K29" s="90"/>
      <c r="L29" s="91">
        <f t="shared" si="1"/>
        <v>50</v>
      </c>
      <c r="M29" s="15"/>
      <c r="N29" s="1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76" t="s">
        <v>8</v>
      </c>
      <c r="B30" s="87" t="s">
        <v>8</v>
      </c>
      <c r="C30" s="62"/>
      <c r="D30" s="62"/>
      <c r="E30" s="62"/>
      <c r="F30" s="62"/>
      <c r="G30" s="62"/>
      <c r="H30" s="63"/>
      <c r="I30" s="88"/>
      <c r="J30" s="89">
        <f>VLOOKUP(L$23&amp;"-"&amp;A30,SUPORTE!A:D,4,FALSE())</f>
        <v>0.05</v>
      </c>
      <c r="K30" s="90"/>
      <c r="L30" s="91">
        <f t="shared" si="1"/>
        <v>50</v>
      </c>
      <c r="M30" s="15"/>
      <c r="N30" s="1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76" t="s">
        <v>9</v>
      </c>
      <c r="B31" s="87" t="s">
        <v>9</v>
      </c>
      <c r="C31" s="62"/>
      <c r="D31" s="62"/>
      <c r="E31" s="62"/>
      <c r="F31" s="62"/>
      <c r="G31" s="62"/>
      <c r="H31" s="63"/>
      <c r="I31" s="88"/>
      <c r="J31" s="89">
        <f>VLOOKUP(L$23&amp;"-"&amp;A31,SUPORTE!A:D,4,FALSE())</f>
        <v>0.2</v>
      </c>
      <c r="K31" s="90"/>
      <c r="L31" s="91">
        <f t="shared" si="1"/>
        <v>200</v>
      </c>
      <c r="M31" s="15"/>
      <c r="N31" s="1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76" t="s">
        <v>10</v>
      </c>
      <c r="B32" s="92" t="s">
        <v>10</v>
      </c>
      <c r="C32" s="93"/>
      <c r="D32" s="93"/>
      <c r="E32" s="93"/>
      <c r="F32" s="93"/>
      <c r="G32" s="93"/>
      <c r="H32" s="94"/>
      <c r="I32" s="95"/>
      <c r="J32" s="96">
        <f>VLOOKUP(L$23&amp;"-"&amp;A32,SUPORTE!A:D,4,FALSE())</f>
        <v>0.1</v>
      </c>
      <c r="K32" s="97"/>
      <c r="L32" s="98">
        <f t="shared" si="1"/>
        <v>100</v>
      </c>
      <c r="M32" s="15"/>
      <c r="N32" s="1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1"/>
      <c r="B33" s="99"/>
      <c r="C33" s="74"/>
      <c r="D33" s="74"/>
      <c r="E33" s="74"/>
      <c r="F33" s="74"/>
      <c r="G33" s="74"/>
      <c r="H33" s="75"/>
      <c r="I33" s="100"/>
      <c r="J33" s="74"/>
      <c r="K33" s="75"/>
      <c r="L33" s="101">
        <f>SUM(L27:L32)</f>
        <v>1000</v>
      </c>
      <c r="M33" s="15"/>
      <c r="N33" s="1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1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1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1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1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1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1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1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1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1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1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1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1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1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1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1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1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1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1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1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1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1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1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1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1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1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1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1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1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1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1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1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1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1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1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1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1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1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1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1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1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1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1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1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1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1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1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1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1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1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1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1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1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1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1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1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1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1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1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1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1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1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1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1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1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1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1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1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1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1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1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1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1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1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1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1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1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1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1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1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1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1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1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1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1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1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1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1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1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1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1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1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1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1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1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1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1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1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1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1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1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1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1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1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1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2:L2"/>
    <mergeCell ref="B4:L4"/>
    <mergeCell ref="B5:K5"/>
    <mergeCell ref="B6:K6"/>
    <mergeCell ref="B7:K7"/>
    <mergeCell ref="B9:L9"/>
    <mergeCell ref="B10:K10"/>
    <mergeCell ref="B11:K11"/>
    <mergeCell ref="B12:K12"/>
    <mergeCell ref="B13:K13"/>
    <mergeCell ref="B14:K14"/>
    <mergeCell ref="B16:K16"/>
    <mergeCell ref="B17:H17"/>
    <mergeCell ref="I17:K17"/>
    <mergeCell ref="B18:H18"/>
    <mergeCell ref="I18:K18"/>
    <mergeCell ref="B19:H19"/>
    <mergeCell ref="I19:K19"/>
    <mergeCell ref="B20:H20"/>
    <mergeCell ref="I20:K20"/>
    <mergeCell ref="I21:K21"/>
    <mergeCell ref="B30:H30"/>
    <mergeCell ref="B31:H31"/>
    <mergeCell ref="B32:H32"/>
    <mergeCell ref="B33:H33"/>
    <mergeCell ref="I33:K33"/>
    <mergeCell ref="B21:H21"/>
    <mergeCell ref="B23:K23"/>
    <mergeCell ref="B24:K24"/>
    <mergeCell ref="B26:H26"/>
    <mergeCell ref="B27:H27"/>
    <mergeCell ref="B28:H28"/>
    <mergeCell ref="B29:H29"/>
  </mergeCells>
  <dataValidations>
    <dataValidation type="list" allowBlank="1" showErrorMessage="1" sqref="L23">
      <formula1>"AGRESSIVO,MODERADO,CONSERVADOR"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18.86"/>
    <col customWidth="1" min="3" max="3" width="22.57"/>
    <col customWidth="1" min="4" max="4" width="7.29"/>
    <col customWidth="1" min="5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tr">
        <f t="shared" ref="A2:A19" si="1">B2&amp;"-"&amp;C2</f>
        <v>CONSERVADOR-PAPEL</v>
      </c>
      <c r="B2" s="6" t="s">
        <v>4</v>
      </c>
      <c r="C2" s="6" t="s">
        <v>5</v>
      </c>
      <c r="D2" s="7">
        <v>0.3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tr">
        <f t="shared" si="1"/>
        <v>CONSERVADOR-TIJOLO</v>
      </c>
      <c r="B3" s="6" t="s">
        <v>4</v>
      </c>
      <c r="C3" s="6" t="s">
        <v>6</v>
      </c>
      <c r="D3" s="7">
        <v>0.5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tr">
        <f t="shared" si="1"/>
        <v>CONSERVADOR-HÍBRIDO</v>
      </c>
      <c r="B4" s="6" t="s">
        <v>4</v>
      </c>
      <c r="C4" s="6" t="s">
        <v>7</v>
      </c>
      <c r="D4" s="7">
        <v>0.1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tr">
        <f t="shared" si="1"/>
        <v>CONSERVADOR-FOFs</v>
      </c>
      <c r="B5" s="6" t="s">
        <v>4</v>
      </c>
      <c r="C5" s="6" t="s">
        <v>8</v>
      </c>
      <c r="D5" s="7">
        <v>0.1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tr">
        <f t="shared" si="1"/>
        <v>CONSERVADOR-DESENVOLVIMENTO</v>
      </c>
      <c r="B6" s="6" t="s">
        <v>4</v>
      </c>
      <c r="C6" s="6" t="s">
        <v>9</v>
      </c>
      <c r="D6" s="7">
        <v>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 t="str">
        <f t="shared" si="1"/>
        <v>CONSERVADOR-HOTELARIA</v>
      </c>
      <c r="B7" s="9" t="s">
        <v>4</v>
      </c>
      <c r="C7" s="9" t="s">
        <v>10</v>
      </c>
      <c r="D7" s="10">
        <v>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tr">
        <f t="shared" si="1"/>
        <v>MODERADO-PAPEL</v>
      </c>
      <c r="B8" s="6" t="s">
        <v>11</v>
      </c>
      <c r="C8" s="6" t="s">
        <v>5</v>
      </c>
      <c r="D8" s="7">
        <v>0.32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tr">
        <f t="shared" si="1"/>
        <v>MODERADO-TIJOLO</v>
      </c>
      <c r="B9" s="6" t="s">
        <v>11</v>
      </c>
      <c r="C9" s="6" t="s">
        <v>6</v>
      </c>
      <c r="D9" s="7">
        <v>0.35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tr">
        <f t="shared" si="1"/>
        <v>MODERADO-HÍBRIDO</v>
      </c>
      <c r="B10" s="6" t="s">
        <v>11</v>
      </c>
      <c r="C10" s="6" t="s">
        <v>7</v>
      </c>
      <c r="D10" s="7">
        <v>0.08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tr">
        <f t="shared" si="1"/>
        <v>MODERADO-FOFs</v>
      </c>
      <c r="B11" s="6" t="s">
        <v>11</v>
      </c>
      <c r="C11" s="6" t="s">
        <v>8</v>
      </c>
      <c r="D11" s="7">
        <v>0.05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tr">
        <f t="shared" si="1"/>
        <v>MODERADO-DESENVOLVIMENTO</v>
      </c>
      <c r="B12" s="6" t="s">
        <v>11</v>
      </c>
      <c r="C12" s="6" t="s">
        <v>9</v>
      </c>
      <c r="D12" s="7">
        <v>0.1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 t="str">
        <f t="shared" si="1"/>
        <v>MODERADO-HOTELARIA</v>
      </c>
      <c r="B13" s="9" t="s">
        <v>11</v>
      </c>
      <c r="C13" s="9" t="s">
        <v>10</v>
      </c>
      <c r="D13" s="10">
        <v>0.1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tr">
        <f t="shared" si="1"/>
        <v>AGRESSIVO-PAPEL</v>
      </c>
      <c r="B14" s="6" t="s">
        <v>12</v>
      </c>
      <c r="C14" s="6" t="s">
        <v>5</v>
      </c>
      <c r="D14" s="7">
        <v>0.5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tr">
        <f t="shared" si="1"/>
        <v>AGRESSIVO-TIJOLO</v>
      </c>
      <c r="B15" s="6" t="s">
        <v>12</v>
      </c>
      <c r="C15" s="6" t="s">
        <v>6</v>
      </c>
      <c r="D15" s="7">
        <v>0.1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 t="str">
        <f t="shared" si="1"/>
        <v>AGRESSIVO-HÍBRIDO</v>
      </c>
      <c r="B16" s="6" t="s">
        <v>12</v>
      </c>
      <c r="C16" s="6" t="s">
        <v>7</v>
      </c>
      <c r="D16" s="7">
        <v>0.05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 t="str">
        <f t="shared" si="1"/>
        <v>AGRESSIVO-FOFs</v>
      </c>
      <c r="B17" s="6" t="s">
        <v>12</v>
      </c>
      <c r="C17" s="6" t="s">
        <v>8</v>
      </c>
      <c r="D17" s="7">
        <v>0.05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 t="str">
        <f t="shared" si="1"/>
        <v>AGRESSIVO-DESENVOLVIMENTO</v>
      </c>
      <c r="B18" s="6" t="s">
        <v>12</v>
      </c>
      <c r="C18" s="6" t="s">
        <v>9</v>
      </c>
      <c r="D18" s="7">
        <v>0.2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 t="str">
        <f t="shared" si="1"/>
        <v>AGRESSIVO-HOTELARIA</v>
      </c>
      <c r="B19" s="9" t="s">
        <v>12</v>
      </c>
      <c r="C19" s="9" t="s">
        <v>10</v>
      </c>
      <c r="D19" s="10">
        <v>0.1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2083333333333" footer="0.0" header="0.0" left="0.700694444444445" right="0.700694444444445" top="0.752083333333333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